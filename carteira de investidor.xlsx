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igu\OneDrive\Documentos\"/>
    </mc:Choice>
  </mc:AlternateContent>
  <xr:revisionPtr revIDLastSave="0" documentId="13_ncr:1_{A1C546DB-A04A-461A-B330-F499EA933F48}" xr6:coauthVersionLast="47" xr6:coauthVersionMax="47" xr10:uidLastSave="{00000000-0000-0000-0000-000000000000}"/>
  <bookViews>
    <workbookView xWindow="-120" yWindow="-120" windowWidth="20730" windowHeight="11160" tabRatio="345" xr2:uid="{D63472A4-8300-4934-9C87-0EC792DCF89D}"/>
  </bookViews>
  <sheets>
    <sheet name="APP" sheetId="1" r:id="rId1"/>
    <sheet name="Planilha2" sheetId="2" r:id="rId2"/>
  </sheets>
  <definedNames>
    <definedName name="aporte">APP!$D$17</definedName>
    <definedName name="DIVIDENDO">APP!$D$21</definedName>
    <definedName name="patrimonio">APP!$D$20</definedName>
    <definedName name="qtd_anos">APP!$D$18</definedName>
    <definedName name="rendimento_carteira">APP!$D$13</definedName>
    <definedName name="salario">APP!$D$12</definedName>
    <definedName name="sugestao_investimento">APP!$D$14</definedName>
    <definedName name="taxa_mensal">APP!$D$19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7" i="1" l="1" a="1"/>
  <c r="C37" i="1" s="1"/>
  <c r="C43" i="1" s="1"/>
  <c r="B37" i="1" a="1"/>
  <c r="B37" i="1" s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D34" i="1"/>
  <c r="C25" i="1"/>
  <c r="D25" i="1" s="1"/>
  <c r="C26" i="1"/>
  <c r="D26" i="1" s="1"/>
  <c r="C27" i="1"/>
  <c r="D27" i="1" s="1"/>
  <c r="C28" i="1"/>
  <c r="D28" i="1" s="1"/>
  <c r="C29" i="1"/>
  <c r="D29" i="1" s="1"/>
  <c r="D14" i="1"/>
  <c r="D20" i="1"/>
  <c r="D21" i="1" s="1"/>
  <c r="C24" i="1"/>
  <c r="D24" i="1" s="1"/>
  <c r="D41" i="1" l="1"/>
  <c r="D40" i="1"/>
  <c r="D38" i="1"/>
  <c r="I4" i="2"/>
  <c r="D39" i="1" l="1"/>
  <c r="D42" i="1"/>
  <c r="D37" i="1"/>
  <c r="D43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<sst xmlns="http://schemas.openxmlformats.org/spreadsheetml/2006/main" count="142" uniqueCount="52">
  <si>
    <t>Quanto investir por mês ?</t>
  </si>
  <si>
    <t>Por Quantos Anos ?</t>
  </si>
  <si>
    <t>Taxa de Rendimento mensal ?</t>
  </si>
  <si>
    <t>Patrimônio acumulado ?</t>
  </si>
  <si>
    <t>Dividendos Mensais ?</t>
  </si>
  <si>
    <t>INVESTIMENTO MENSAL</t>
  </si>
  <si>
    <t>Quanto em 2 Anos ?</t>
  </si>
  <si>
    <t>Quanto em 5 Anos ?</t>
  </si>
  <si>
    <t>Quanto em 10 Anos ?</t>
  </si>
  <si>
    <t>Quanto em 20 Anos ?</t>
  </si>
  <si>
    <t xml:space="preserve"> Cenários</t>
  </si>
  <si>
    <t>Dividendo</t>
  </si>
  <si>
    <t>Rendimento Carteira</t>
  </si>
  <si>
    <t>Salário</t>
  </si>
  <si>
    <t>CONFIGURAÇÕES</t>
  </si>
  <si>
    <t>Conservador</t>
  </si>
  <si>
    <t>Moderado</t>
  </si>
  <si>
    <t>Agressivo</t>
  </si>
  <si>
    <t>VALOR A SER INVESTIDO POR MÊS</t>
  </si>
  <si>
    <t>PERFIL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</si>
  <si>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</si>
  <si>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</si>
  <si>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</si>
  <si>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</si>
  <si>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</si>
  <si>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</si>
  <si>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</si>
  <si>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</si>
  <si>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</si>
  <si>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%</t>
  </si>
  <si>
    <t>Moderado-TIJOLO</t>
  </si>
  <si>
    <t>Sugestão de Investimento (30%)</t>
  </si>
  <si>
    <t>Quanto em 3 Anos ?</t>
  </si>
  <si>
    <t>Quanto em 15 Anos ?</t>
  </si>
  <si>
    <t>Bitcoin (BTC)</t>
  </si>
  <si>
    <t>Ethereum (ETH)</t>
  </si>
  <si>
    <t>Binance Coin (BNB)</t>
  </si>
  <si>
    <t>Cardano (ADA)</t>
  </si>
  <si>
    <t>Solana (SOL)</t>
  </si>
  <si>
    <t>Stablecoin (USDT)</t>
  </si>
  <si>
    <t>Polygon (MATIC)</t>
  </si>
  <si>
    <t>Chainlink (LINK)</t>
  </si>
  <si>
    <t>Avalanche (AVAX)</t>
  </si>
  <si>
    <t>Arbitrum (ARB)</t>
  </si>
  <si>
    <t>Optimism (OP)</t>
  </si>
  <si>
    <t>FII</t>
  </si>
  <si>
    <t>CRYPTO</t>
  </si>
  <si>
    <t xml:space="preserve">CHAVE SELETORA </t>
  </si>
  <si>
    <t>ATIVO</t>
  </si>
  <si>
    <t>SELECIONE O PERFIL</t>
  </si>
  <si>
    <t>SELECIONE O ATIVO DESEJADO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</si>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</sst>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0"/>
      <name val="Segoe UI Semibold"/>
      <family val="2"/>
    </font>
    <font>
      <b/>
      <sz val="20"/>
      <color theme="0"/>
      <name val="Segoe UI Semibold"/>
      <family val="2"/>
    </font>
    <font>
      <b/>
      <sz val="12"/>
      <color theme="0"/>
      <name val="Segoe UI Semibold"/>
      <family val="2"/>
    </font>
    <font>
      <sz val="11"/>
      <color theme="1" tint="0.34998626667073579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2" tint="-0.249977111117893"/>
      <name val="Aptos Narrow"/>
      <family val="2"/>
      <scheme val="minor"/>
    </font>
    <font>
      <b/>
      <sz val="11"/>
      <color theme="0"/>
      <name val="Segoe UI Semibold"/>
      <family val="2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2" tint="-9.9948118533890809E-2"/>
      </left>
      <right/>
      <top style="thin">
        <color theme="2" tint="-9.9948118533890809E-2"/>
      </top>
      <bottom style="thin">
        <color theme="2" tint="-9.9948118533890809E-2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48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2" fillId="2" borderId="0" xfId="3"/>
    <xf numFmtId="0" fontId="0" fillId="0" borderId="4" xfId="0" applyBorder="1"/>
    <xf numFmtId="0" fontId="0" fillId="0" borderId="4" xfId="0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9" fontId="0" fillId="3" borderId="0" xfId="0" applyNumberFormat="1" applyFill="1" applyAlignment="1">
      <alignment horizontal="center"/>
    </xf>
    <xf numFmtId="9" fontId="2" fillId="2" borderId="0" xfId="2" applyFont="1" applyFill="1"/>
    <xf numFmtId="0" fontId="4" fillId="4" borderId="0" xfId="0" applyFont="1" applyFill="1"/>
    <xf numFmtId="0" fontId="4" fillId="4" borderId="0" xfId="0" applyFont="1" applyFill="1" applyAlignment="1">
      <alignment horizontal="center"/>
    </xf>
    <xf numFmtId="0" fontId="7" fillId="6" borderId="2" xfId="0" applyFont="1" applyFill="1" applyBorder="1" applyAlignment="1">
      <alignment horizontal="center" vertical="center"/>
    </xf>
    <xf numFmtId="0" fontId="8" fillId="5" borderId="0" xfId="0" applyFont="1" applyFill="1"/>
    <xf numFmtId="0" fontId="6" fillId="6" borderId="1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9" fontId="0" fillId="7" borderId="5" xfId="2" applyFont="1" applyFill="1" applyBorder="1" applyAlignment="1">
      <alignment horizontal="center"/>
    </xf>
    <xf numFmtId="164" fontId="3" fillId="7" borderId="6" xfId="1" applyNumberFormat="1" applyFont="1" applyFill="1" applyBorder="1" applyAlignment="1">
      <alignment horizontal="center"/>
    </xf>
    <xf numFmtId="0" fontId="5" fillId="6" borderId="1" xfId="0" applyFont="1" applyFill="1" applyBorder="1" applyAlignment="1">
      <alignment horizontal="right" vertical="center"/>
    </xf>
    <xf numFmtId="0" fontId="5" fillId="6" borderId="2" xfId="0" applyFont="1" applyFill="1" applyBorder="1" applyAlignment="1">
      <alignment horizontal="right" vertical="center"/>
    </xf>
    <xf numFmtId="0" fontId="9" fillId="6" borderId="0" xfId="0" applyFont="1" applyFill="1" applyAlignment="1">
      <alignment horizontal="center"/>
    </xf>
    <xf numFmtId="0" fontId="10" fillId="4" borderId="0" xfId="0" applyFont="1" applyFill="1"/>
    <xf numFmtId="0" fontId="10" fillId="5" borderId="0" xfId="0" applyFont="1" applyFill="1"/>
    <xf numFmtId="9" fontId="10" fillId="5" borderId="0" xfId="0" applyNumberFormat="1" applyFont="1" applyFill="1"/>
    <xf numFmtId="0" fontId="11" fillId="6" borderId="3" xfId="0" applyFont="1" applyFill="1" applyBorder="1" applyAlignment="1">
      <alignment horizontal="right"/>
    </xf>
    <xf numFmtId="0" fontId="9" fillId="5" borderId="0" xfId="0" applyFont="1" applyFill="1"/>
    <xf numFmtId="0" fontId="9" fillId="6" borderId="7" xfId="3" applyFont="1" applyFill="1" applyBorder="1" applyAlignment="1">
      <alignment horizontal="center"/>
    </xf>
    <xf numFmtId="0" fontId="9" fillId="6" borderId="8" xfId="3" applyFont="1" applyFill="1" applyBorder="1" applyAlignment="1">
      <alignment horizontal="center"/>
    </xf>
    <xf numFmtId="0" fontId="9" fillId="6" borderId="7" xfId="0" applyFont="1" applyFill="1" applyBorder="1" applyAlignment="1">
      <alignment horizontal="center"/>
    </xf>
    <xf numFmtId="0" fontId="9" fillId="6" borderId="8" xfId="0" applyFont="1" applyFill="1" applyBorder="1" applyAlignment="1">
      <alignment horizontal="center"/>
    </xf>
    <xf numFmtId="0" fontId="0" fillId="5" borderId="0" xfId="0" applyFont="1" applyFill="1"/>
    <xf numFmtId="0" fontId="0" fillId="8" borderId="5" xfId="0" applyFont="1" applyFill="1" applyBorder="1" applyAlignment="1">
      <alignment horizontal="center"/>
    </xf>
    <xf numFmtId="9" fontId="0" fillId="8" borderId="5" xfId="0" applyNumberFormat="1" applyFont="1" applyFill="1" applyBorder="1" applyAlignment="1">
      <alignment horizontal="center"/>
    </xf>
    <xf numFmtId="164" fontId="0" fillId="7" borderId="5" xfId="0" applyNumberFormat="1" applyFont="1" applyFill="1" applyBorder="1" applyAlignment="1">
      <alignment horizontal="center"/>
    </xf>
    <xf numFmtId="0" fontId="0" fillId="7" borderId="5" xfId="0" applyNumberFormat="1" applyFont="1" applyFill="1" applyBorder="1" applyAlignment="1">
      <alignment horizontal="center"/>
    </xf>
    <xf numFmtId="9" fontId="1" fillId="7" borderId="5" xfId="2" applyFont="1" applyFill="1" applyBorder="1" applyAlignment="1">
      <alignment horizontal="center"/>
    </xf>
    <xf numFmtId="164" fontId="0" fillId="8" borderId="5" xfId="0" applyNumberFormat="1" applyFont="1" applyFill="1" applyBorder="1" applyAlignment="1">
      <alignment horizontal="center"/>
    </xf>
    <xf numFmtId="9" fontId="1" fillId="8" borderId="5" xfId="2" applyFont="1" applyFill="1" applyBorder="1" applyAlignment="1">
      <alignment horizontal="center"/>
    </xf>
    <xf numFmtId="0" fontId="0" fillId="8" borderId="9" xfId="0" applyFont="1" applyFill="1" applyBorder="1" applyAlignment="1">
      <alignment horizontal="center"/>
    </xf>
    <xf numFmtId="0" fontId="0" fillId="8" borderId="10" xfId="0" applyFont="1" applyFill="1" applyBorder="1" applyAlignment="1">
      <alignment horizontal="center"/>
    </xf>
    <xf numFmtId="0" fontId="3" fillId="7" borderId="6" xfId="3" applyFont="1" applyFill="1" applyBorder="1" applyAlignment="1">
      <alignment horizontal="center"/>
    </xf>
    <xf numFmtId="164" fontId="0" fillId="8" borderId="5" xfId="1" applyNumberFormat="1" applyFont="1" applyFill="1" applyBorder="1" applyAlignment="1">
      <alignment horizontal="center"/>
    </xf>
  </cellXfs>
  <cellStyles count="4">
    <cellStyle name="Moeda" xfId="1" builtinId="4"/>
    <cellStyle name="Neutro" xfId="3" builtinId="28"/>
    <cellStyle name="Normal" xfId="0" builtinId="0"/>
    <cellStyle name="Percentagem" xfId="2" builtinId="5"/>
  </cellStyles>
  <dxfs count="0"/>
  <tableStyles count="0" defaultTableStyle="TableStyleMedium2" defaultPivotStyle="PivotStyleLight16"/>
  <colors>
    <mruColors>
      <color rgb="FFE2BD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PROPORÇÃO GRAFICA </a:t>
            </a:r>
          </a:p>
        </c:rich>
      </c:tx>
      <c:layout>
        <c:manualLayout>
          <c:xMode val="edge"/>
          <c:yMode val="edge"/>
          <c:x val="4.6160897118206395E-2"/>
          <c:y val="7.44920949093158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8581652578528527"/>
          <c:y val="9.693976307212436E-2"/>
          <c:w val="0.39903378183524368"/>
          <c:h val="0.78815927622098936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5">
                      <a:shade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hade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shade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hade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hade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shade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5">
                      <a:shade val="9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hade val="9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shade val="9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5">
                      <a:tint val="9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tint val="9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tint val="9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tint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tint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tint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5">
                      <a:tint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tint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tint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APP!$B$37:$B$42</c:f>
              <c:strCache>
                <c:ptCount val="6"/>
                <c:pt idx="0">
                  <c:v>Bitcoin (BTC)</c:v>
                </c:pt>
                <c:pt idx="1">
                  <c:v>Ethereum (ETH)</c:v>
                </c:pt>
                <c:pt idx="2">
                  <c:v>Solana (SOL)</c:v>
                </c:pt>
                <c:pt idx="3">
                  <c:v>Avalanche (AVAX)</c:v>
                </c:pt>
                <c:pt idx="4">
                  <c:v>Arbitrum (ARB)</c:v>
                </c:pt>
                <c:pt idx="5">
                  <c:v>Optimism (OP)</c:v>
                </c:pt>
              </c:strCache>
            </c:strRef>
          </c:cat>
          <c:val>
            <c:numRef>
              <c:f>APP!$C$37:$C$42</c:f>
              <c:numCache>
                <c:formatCode>0%</c:formatCode>
                <c:ptCount val="6"/>
                <c:pt idx="0">
                  <c:v>0.2</c:v>
                </c:pt>
                <c:pt idx="1">
                  <c:v>0.15</c:v>
                </c:pt>
                <c:pt idx="2">
                  <c:v>0.2</c:v>
                </c:pt>
                <c:pt idx="3">
                  <c:v>0.15</c:v>
                </c:pt>
                <c:pt idx="4">
                  <c:v>0.15</c:v>
                </c:pt>
                <c:pt idx="5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5E-4D99-87DD-A2E44828E6B1}"/>
            </c:ext>
          </c:extLst>
        </c:ser>
        <c:ser>
          <c:idx val="1"/>
          <c:order val="1"/>
          <c:dPt>
            <c:idx val="0"/>
            <c:bubble3D val="0"/>
            <c:spPr>
              <a:gradFill rotWithShape="1">
                <a:gsLst>
                  <a:gs pos="0">
                    <a:schemeClr val="accent5">
                      <a:shade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hade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shade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hade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hade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shade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5">
                      <a:shade val="9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hade val="9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shade val="9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5">
                      <a:tint val="9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tint val="9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tint val="9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tint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tint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tint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5">
                      <a:tint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tint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tint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APP!$B$37:$B$42</c:f>
              <c:strCache>
                <c:ptCount val="6"/>
                <c:pt idx="0">
                  <c:v>Bitcoin (BTC)</c:v>
                </c:pt>
                <c:pt idx="1">
                  <c:v>Ethereum (ETH)</c:v>
                </c:pt>
                <c:pt idx="2">
                  <c:v>Solana (SOL)</c:v>
                </c:pt>
                <c:pt idx="3">
                  <c:v>Avalanche (AVAX)</c:v>
                </c:pt>
                <c:pt idx="4">
                  <c:v>Arbitrum (ARB)</c:v>
                </c:pt>
                <c:pt idx="5">
                  <c:v>Optimism (OP)</c:v>
                </c:pt>
              </c:strCache>
            </c:strRef>
          </c:cat>
          <c:val>
            <c:numRef>
              <c:f>APP!$D$37:$D$42</c:f>
              <c:numCache>
                <c:formatCode>"R$"\ #,##0.00</c:formatCode>
                <c:ptCount val="6"/>
                <c:pt idx="0">
                  <c:v>20</c:v>
                </c:pt>
                <c:pt idx="1">
                  <c:v>15</c:v>
                </c:pt>
                <c:pt idx="2">
                  <c:v>20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5E-4D99-87DD-A2E44828E6B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51956</xdr:colOff>
      <xdr:row>1</xdr:row>
      <xdr:rowOff>34635</xdr:rowOff>
    </xdr:from>
    <xdr:to>
      <xdr:col>4</xdr:col>
      <xdr:colOff>159575</xdr:colOff>
      <xdr:row>9</xdr:row>
      <xdr:rowOff>78598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1E42F7A3-6B5A-0CAC-8286-5AF54A286A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547" b="38280"/>
        <a:stretch/>
      </xdr:blipFill>
      <xdr:spPr>
        <a:xfrm>
          <a:off x="311729" y="225135"/>
          <a:ext cx="6147953" cy="1591776"/>
        </a:xfrm>
        <a:prstGeom prst="rect">
          <a:avLst/>
        </a:prstGeom>
        <a:solidFill>
          <a:schemeClr val="tx1"/>
        </a:solidFill>
      </xdr:spPr>
    </xdr:pic>
    <xdr:clientData/>
  </xdr:twoCellAnchor>
  <xdr:twoCellAnchor>
    <xdr:from>
      <xdr:col>1</xdr:col>
      <xdr:colOff>-1</xdr:colOff>
      <xdr:row>43</xdr:row>
      <xdr:rowOff>152399</xdr:rowOff>
    </xdr:from>
    <xdr:to>
      <xdr:col>4</xdr:col>
      <xdr:colOff>17318</xdr:colOff>
      <xdr:row>62</xdr:row>
      <xdr:rowOff>103908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307EE3D-CEB2-DFCD-7549-25F82A2A3D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0B514-4758-45B7-9E7C-BEE6ADE55698}">
  <dimension ref="A1:G1048560"/>
  <sheetViews>
    <sheetView showGridLines="0" tabSelected="1" topLeftCell="A4" zoomScale="55" zoomScaleNormal="55" workbookViewId="0">
      <selection activeCell="C24" sqref="C24:C29"/>
    </sheetView>
  </sheetViews>
  <sheetFormatPr defaultColWidth="0" defaultRowHeight="15" zeroHeight="1" x14ac:dyDescent="0.25"/>
  <cols>
    <col min="1" max="1" width="4" style="27" customWidth="1"/>
    <col min="2" max="2" width="46.85546875" style="27" customWidth="1"/>
    <col min="3" max="3" width="26.42578125" style="27" bestFit="1" customWidth="1"/>
    <col min="4" max="4" width="17.28515625" style="27" bestFit="1" customWidth="1"/>
    <col min="5" max="5" width="4.28515625" style="27" customWidth="1"/>
    <col min="6" max="7" width="3.5703125" style="27" hidden="1" customWidth="1"/>
    <col min="8" max="16384" width="0" style="27" hidden="1"/>
  </cols>
  <sheetData>
    <row r="1" spans="2:4" s="28" customFormat="1" x14ac:dyDescent="0.25"/>
    <row r="2" spans="2:4" s="28" customFormat="1" x14ac:dyDescent="0.25"/>
    <row r="3" spans="2:4" s="28" customFormat="1" x14ac:dyDescent="0.25"/>
    <row r="4" spans="2:4" s="28" customFormat="1" x14ac:dyDescent="0.25"/>
    <row r="5" spans="2:4" s="28" customFormat="1" x14ac:dyDescent="0.25"/>
    <row r="6" spans="2:4" s="28" customFormat="1" x14ac:dyDescent="0.25"/>
    <row r="7" spans="2:4" s="28" customFormat="1" x14ac:dyDescent="0.25"/>
    <row r="8" spans="2:4" s="28" customFormat="1" ht="17.25" customHeight="1" x14ac:dyDescent="0.25"/>
    <row r="9" spans="2:4" s="28" customFormat="1" x14ac:dyDescent="0.25"/>
    <row r="10" spans="2:4" s="28" customFormat="1" ht="15.75" thickBot="1" x14ac:dyDescent="0.3"/>
    <row r="11" spans="2:4" s="28" customFormat="1" ht="26.25" x14ac:dyDescent="0.3">
      <c r="B11" s="24" t="s">
        <v>14</v>
      </c>
      <c r="C11" s="30"/>
      <c r="D11" s="25"/>
    </row>
    <row r="12" spans="2:4" s="28" customFormat="1" x14ac:dyDescent="0.25">
      <c r="B12" s="44" t="s">
        <v>13</v>
      </c>
      <c r="C12" s="45"/>
      <c r="D12" s="39">
        <v>2000</v>
      </c>
    </row>
    <row r="13" spans="2:4" s="28" customFormat="1" x14ac:dyDescent="0.25">
      <c r="B13" s="44" t="s">
        <v>12</v>
      </c>
      <c r="C13" s="45"/>
      <c r="D13" s="22">
        <v>0.02</v>
      </c>
    </row>
    <row r="14" spans="2:4" s="28" customFormat="1" x14ac:dyDescent="0.25">
      <c r="B14" s="44" t="s">
        <v>31</v>
      </c>
      <c r="C14" s="45"/>
      <c r="D14" s="39">
        <f>D12*30%</f>
        <v>600</v>
      </c>
    </row>
    <row r="15" spans="2:4" s="28" customFormat="1" ht="15.75" thickBot="1" x14ac:dyDescent="0.3">
      <c r="B15" s="31"/>
      <c r="C15" s="31"/>
      <c r="D15" s="31"/>
    </row>
    <row r="16" spans="2:4" s="28" customFormat="1" ht="28.5" customHeight="1" x14ac:dyDescent="0.25">
      <c r="B16" s="15" t="s">
        <v>5</v>
      </c>
      <c r="C16" s="16"/>
      <c r="D16" s="17"/>
    </row>
    <row r="17" spans="1:5" s="28" customFormat="1" x14ac:dyDescent="0.25">
      <c r="B17" s="44" t="s">
        <v>0</v>
      </c>
      <c r="C17" s="45"/>
      <c r="D17" s="39">
        <v>100</v>
      </c>
    </row>
    <row r="18" spans="1:5" s="28" customFormat="1" x14ac:dyDescent="0.25">
      <c r="B18" s="44" t="s">
        <v>1</v>
      </c>
      <c r="C18" s="45"/>
      <c r="D18" s="40">
        <v>5</v>
      </c>
    </row>
    <row r="19" spans="1:5" s="28" customFormat="1" x14ac:dyDescent="0.25">
      <c r="B19" s="44" t="s">
        <v>2</v>
      </c>
      <c r="C19" s="45"/>
      <c r="D19" s="41">
        <v>0.01</v>
      </c>
    </row>
    <row r="20" spans="1:5" s="28" customFormat="1" x14ac:dyDescent="0.25">
      <c r="B20" s="44" t="s">
        <v>3</v>
      </c>
      <c r="C20" s="45"/>
      <c r="D20" s="42">
        <f>FV(taxa_mensal,qtd_anos*12,aporte*-1)</f>
        <v>8166.9669856409128</v>
      </c>
    </row>
    <row r="21" spans="1:5" s="28" customFormat="1" x14ac:dyDescent="0.25">
      <c r="B21" s="44" t="s">
        <v>4</v>
      </c>
      <c r="C21" s="45"/>
      <c r="D21" s="42">
        <f>patrimonio*rendimento_carteira</f>
        <v>163.33933971281826</v>
      </c>
      <c r="E21" s="29"/>
    </row>
    <row r="22" spans="1:5" s="28" customFormat="1" ht="15.75" thickBot="1" x14ac:dyDescent="0.3">
      <c r="B22" s="31"/>
      <c r="C22" s="31"/>
      <c r="D22" s="31"/>
    </row>
    <row r="23" spans="1:5" s="28" customFormat="1" ht="30.75" x14ac:dyDescent="0.25">
      <c r="B23" s="15" t="s">
        <v>10</v>
      </c>
      <c r="C23" s="16"/>
      <c r="D23" s="13" t="s">
        <v>11</v>
      </c>
    </row>
    <row r="24" spans="1:5" s="28" customFormat="1" x14ac:dyDescent="0.25">
      <c r="A24" s="14">
        <v>2</v>
      </c>
      <c r="B24" s="37" t="s">
        <v>6</v>
      </c>
      <c r="C24" s="47">
        <f>FV($D$19,$A24*12,$D$17*-1)</f>
        <v>2697.3464853191499</v>
      </c>
      <c r="D24" s="42">
        <f>C24*rendimento_carteira</f>
        <v>53.946929706383003</v>
      </c>
    </row>
    <row r="25" spans="1:5" s="28" customFormat="1" x14ac:dyDescent="0.25">
      <c r="A25" s="14">
        <v>3</v>
      </c>
      <c r="B25" s="37" t="s">
        <v>32</v>
      </c>
      <c r="C25" s="47">
        <f t="shared" ref="C25:C29" si="0">FV($D$19,$A25*12,$D$17*-1)</f>
        <v>4307.68783591581</v>
      </c>
      <c r="D25" s="42">
        <f t="shared" ref="D25:D29" si="1">C25*rendimento_carteira</f>
        <v>86.153756718316203</v>
      </c>
    </row>
    <row r="26" spans="1:5" s="28" customFormat="1" x14ac:dyDescent="0.25">
      <c r="A26" s="14">
        <v>5</v>
      </c>
      <c r="B26" s="37" t="s">
        <v>7</v>
      </c>
      <c r="C26" s="47">
        <f t="shared" si="0"/>
        <v>8166.9669856409128</v>
      </c>
      <c r="D26" s="42">
        <f t="shared" si="1"/>
        <v>163.33933971281826</v>
      </c>
    </row>
    <row r="27" spans="1:5" s="28" customFormat="1" x14ac:dyDescent="0.25">
      <c r="A27" s="14">
        <v>10</v>
      </c>
      <c r="B27" s="37" t="s">
        <v>8</v>
      </c>
      <c r="C27" s="47">
        <f t="shared" si="0"/>
        <v>23003.8689457367</v>
      </c>
      <c r="D27" s="42">
        <f t="shared" si="1"/>
        <v>460.07737891473403</v>
      </c>
    </row>
    <row r="28" spans="1:5" s="28" customFormat="1" x14ac:dyDescent="0.25">
      <c r="A28" s="14">
        <v>15</v>
      </c>
      <c r="B28" s="37" t="s">
        <v>33</v>
      </c>
      <c r="C28" s="47">
        <f t="shared" si="0"/>
        <v>49958.019753561799</v>
      </c>
      <c r="D28" s="42">
        <f t="shared" si="1"/>
        <v>999.16039507123605</v>
      </c>
    </row>
    <row r="29" spans="1:5" s="28" customFormat="1" x14ac:dyDescent="0.25">
      <c r="A29" s="14">
        <v>20</v>
      </c>
      <c r="B29" s="37" t="s">
        <v>9</v>
      </c>
      <c r="C29" s="47">
        <f t="shared" si="0"/>
        <v>98925.536538736298</v>
      </c>
      <c r="D29" s="42">
        <f t="shared" si="1"/>
        <v>1978.510730774726</v>
      </c>
    </row>
    <row r="30" spans="1:5" s="28" customFormat="1" x14ac:dyDescent="0.25">
      <c r="B30" s="31"/>
      <c r="C30" s="31"/>
      <c r="D30" s="31"/>
    </row>
    <row r="31" spans="1:5" s="28" customFormat="1" x14ac:dyDescent="0.25">
      <c r="B31" s="31"/>
      <c r="C31" s="31"/>
      <c r="D31" s="31"/>
    </row>
    <row r="32" spans="1:5" s="28" customFormat="1" x14ac:dyDescent="0.25">
      <c r="B32" s="32" t="s">
        <v>50</v>
      </c>
      <c r="C32" s="33"/>
      <c r="D32" s="46" t="s">
        <v>46</v>
      </c>
    </row>
    <row r="33" spans="2:4" s="28" customFormat="1" x14ac:dyDescent="0.25">
      <c r="B33" s="32" t="s">
        <v>49</v>
      </c>
      <c r="C33" s="33"/>
      <c r="D33" s="46" t="s">
        <v>17</v>
      </c>
    </row>
    <row r="34" spans="2:4" s="28" customFormat="1" x14ac:dyDescent="0.25">
      <c r="B34" s="34" t="s">
        <v>18</v>
      </c>
      <c r="C34" s="35"/>
      <c r="D34" s="23">
        <f>aporte</f>
        <v>100</v>
      </c>
    </row>
    <row r="35" spans="2:4" s="28" customFormat="1" x14ac:dyDescent="0.25">
      <c r="B35" s="31"/>
      <c r="C35" s="31"/>
      <c r="D35" s="31"/>
    </row>
    <row r="36" spans="2:4" s="28" customFormat="1" x14ac:dyDescent="0.25">
      <c r="B36" s="26" t="s">
        <v>20</v>
      </c>
      <c r="C36" s="26" t="s">
        <v>21</v>
      </c>
      <c r="D36" s="26" t="s">
        <v>22</v>
      </c>
    </row>
    <row r="37" spans="2:4" s="28" customFormat="1" x14ac:dyDescent="0.25">
      <c r="B37" s="37" t="str" cm="1">
        <f t="array" ref="B37:B42">_xlfn._xlws.FILTER(
Planilha2!D:D,
Planilha2!A:A=$D$32&amp;"-"&amp;$D$33
)</f>
        <v>Bitcoin (BTC)</v>
      </c>
      <c r="C37" s="43" cm="1">
        <f t="array" ref="C37:C42">_xlfn._xlws.FILTER(
Planilha2!E:E,
Planilha2!A:A=$D$32&amp;"-"&amp;$D$33
)</f>
        <v>0.2</v>
      </c>
      <c r="D37" s="42">
        <f>C37*$D$34</f>
        <v>20</v>
      </c>
    </row>
    <row r="38" spans="2:4" s="28" customFormat="1" x14ac:dyDescent="0.25">
      <c r="B38" s="37" t="str">
        <v>Ethereum (ETH)</v>
      </c>
      <c r="C38" s="38">
        <v>0.15</v>
      </c>
      <c r="D38" s="42">
        <f t="shared" ref="D38:D42" si="2">C38*$D$34</f>
        <v>15</v>
      </c>
    </row>
    <row r="39" spans="2:4" s="28" customFormat="1" x14ac:dyDescent="0.25">
      <c r="B39" s="37" t="str">
        <v>Solana (SOL)</v>
      </c>
      <c r="C39" s="38">
        <v>0.2</v>
      </c>
      <c r="D39" s="42">
        <f t="shared" si="2"/>
        <v>20</v>
      </c>
    </row>
    <row r="40" spans="2:4" s="28" customFormat="1" x14ac:dyDescent="0.25">
      <c r="B40" s="37" t="str">
        <v>Avalanche (AVAX)</v>
      </c>
      <c r="C40" s="38">
        <v>0.15</v>
      </c>
      <c r="D40" s="42">
        <f t="shared" si="2"/>
        <v>15</v>
      </c>
    </row>
    <row r="41" spans="2:4" s="28" customFormat="1" x14ac:dyDescent="0.25">
      <c r="B41" s="37" t="str">
        <v>Arbitrum (ARB)</v>
      </c>
      <c r="C41" s="38">
        <v>0.15</v>
      </c>
      <c r="D41" s="42">
        <f t="shared" si="2"/>
        <v>15</v>
      </c>
    </row>
    <row r="42" spans="2:4" s="28" customFormat="1" x14ac:dyDescent="0.25">
      <c r="B42" s="37" t="str">
        <v>Optimism (OP)</v>
      </c>
      <c r="C42" s="38">
        <v>0.15</v>
      </c>
      <c r="D42" s="42">
        <f t="shared" si="2"/>
        <v>15</v>
      </c>
    </row>
    <row r="43" spans="2:4" s="28" customFormat="1" x14ac:dyDescent="0.25">
      <c r="B43" s="37" t="s">
        <v>51</v>
      </c>
      <c r="C43" s="38">
        <f>SUM(_xlfn.ANCHORARRAY(C37))</f>
        <v>1</v>
      </c>
      <c r="D43" s="42">
        <f>SUM(D37:D42)</f>
        <v>100</v>
      </c>
    </row>
    <row r="44" spans="2:4" s="28" customFormat="1" x14ac:dyDescent="0.25">
      <c r="B44" s="36"/>
      <c r="C44" s="36"/>
      <c r="D44" s="36"/>
    </row>
    <row r="45" spans="2:4" s="28" customFormat="1" x14ac:dyDescent="0.25"/>
    <row r="46" spans="2:4" s="28" customFormat="1" x14ac:dyDescent="0.25"/>
    <row r="47" spans="2:4" s="28" customFormat="1" x14ac:dyDescent="0.25"/>
    <row r="48" spans="2:4" s="28" customFormat="1" x14ac:dyDescent="0.25"/>
    <row r="49" s="28" customFormat="1" x14ac:dyDescent="0.25"/>
    <row r="50" s="28" customFormat="1" x14ac:dyDescent="0.25"/>
    <row r="51" s="28" customFormat="1" x14ac:dyDescent="0.25"/>
    <row r="52" s="28" customFormat="1" x14ac:dyDescent="0.25"/>
    <row r="53" s="28" customFormat="1" x14ac:dyDescent="0.25"/>
    <row r="54" s="28" customFormat="1" x14ac:dyDescent="0.25"/>
    <row r="55" s="28" customFormat="1" x14ac:dyDescent="0.25"/>
    <row r="56" s="28" customFormat="1" x14ac:dyDescent="0.25"/>
    <row r="57" s="28" customFormat="1" x14ac:dyDescent="0.25"/>
    <row r="58" s="28" customFormat="1" x14ac:dyDescent="0.25"/>
    <row r="59" s="28" customFormat="1" x14ac:dyDescent="0.25"/>
    <row r="60" s="28" customFormat="1" x14ac:dyDescent="0.25"/>
    <row r="61" s="28" customFormat="1" x14ac:dyDescent="0.25"/>
    <row r="62" s="28" customFormat="1" x14ac:dyDescent="0.25"/>
    <row r="63" s="28" customFormat="1" x14ac:dyDescent="0.25"/>
    <row r="64" x14ac:dyDescent="0.25"/>
    <row r="1048560" x14ac:dyDescent="0.25"/>
  </sheetData>
  <mergeCells count="13">
    <mergeCell ref="B12:C12"/>
    <mergeCell ref="B13:C13"/>
    <mergeCell ref="B14:C14"/>
    <mergeCell ref="B23:C23"/>
    <mergeCell ref="B16:D16"/>
    <mergeCell ref="B33:C33"/>
    <mergeCell ref="B34:C34"/>
    <mergeCell ref="B32:C32"/>
    <mergeCell ref="B17:C17"/>
    <mergeCell ref="B18:C18"/>
    <mergeCell ref="B19:C19"/>
    <mergeCell ref="B20:C20"/>
    <mergeCell ref="B21:C21"/>
  </mergeCells>
  <dataValidations count="2">
    <dataValidation type="list" allowBlank="1" showInputMessage="1" showErrorMessage="1" sqref="D33" xr:uid="{25FB6157-0D6F-4288-BDF6-1C9F16279EC9}">
      <formula1>"Conservador, Moderado, Agressivo"</formula1>
    </dataValidation>
    <dataValidation type="list" allowBlank="1" showInputMessage="1" showErrorMessage="1" sqref="D32" xr:uid="{FAFB3A10-B6AC-420A-B58B-FA2B865AF6A9}">
      <formula1>"FII,CRYPTO"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3A6F9-1A8F-494B-BC52-78E26FF12D4E}">
  <dimension ref="A2:I38"/>
  <sheetViews>
    <sheetView showGridLines="0" topLeftCell="A12" zoomScale="115" zoomScaleNormal="115" workbookViewId="0">
      <selection activeCell="B12" sqref="B1:B1048576"/>
    </sheetView>
  </sheetViews>
  <sheetFormatPr defaultRowHeight="15" x14ac:dyDescent="0.25"/>
  <cols>
    <col min="1" max="1" width="30.85546875" style="1" bestFit="1" customWidth="1"/>
    <col min="2" max="2" width="9.140625" style="1"/>
    <col min="3" max="3" width="12.140625" bestFit="1" customWidth="1"/>
    <col min="4" max="4" width="17.7109375" bestFit="1" customWidth="1"/>
    <col min="8" max="8" width="15.42578125" bestFit="1" customWidth="1"/>
  </cols>
  <sheetData>
    <row r="2" spans="1:9" x14ac:dyDescent="0.25">
      <c r="A2" s="11" t="s">
        <v>47</v>
      </c>
      <c r="B2" s="11" t="s">
        <v>48</v>
      </c>
      <c r="C2" s="11" t="s">
        <v>19</v>
      </c>
      <c r="D2" s="12" t="s">
        <v>20</v>
      </c>
      <c r="E2" s="12" t="s">
        <v>29</v>
      </c>
    </row>
    <row r="3" spans="1:9" x14ac:dyDescent="0.25">
      <c r="A3" t="str">
        <f>B3&amp;"-"&amp;C3</f>
        <v>FII-Conservador</v>
      </c>
      <c r="B3" s="1" t="s">
        <v>45</v>
      </c>
      <c r="C3" t="s">
        <v>15</v>
      </c>
      <c r="D3" s="1" t="s">
        <v>23</v>
      </c>
      <c r="E3" s="2">
        <v>0.3</v>
      </c>
      <c r="I3" t="s">
        <v>29</v>
      </c>
    </row>
    <row r="4" spans="1:9" x14ac:dyDescent="0.25">
      <c r="A4" t="str">
        <f t="shared" ref="A4:A38" si="0">B4&amp;"-"&amp;C4</f>
        <v>FII-Conservador</v>
      </c>
      <c r="B4" s="1" t="s">
        <v>45</v>
      </c>
      <c r="C4" t="s">
        <v>15</v>
      </c>
      <c r="D4" s="1" t="s">
        <v>24</v>
      </c>
      <c r="E4" s="2">
        <v>0.5</v>
      </c>
      <c r="H4" s="3" t="s">
        <v>30</v>
      </c>
      <c r="I4" s="10" t="e">
        <f>VLOOKUP(H4,$C:$E,4,FALSE)</f>
        <v>#N/A</v>
      </c>
    </row>
    <row r="5" spans="1:9" x14ac:dyDescent="0.25">
      <c r="A5" t="str">
        <f t="shared" si="0"/>
        <v>FII-Conservador</v>
      </c>
      <c r="B5" s="1" t="s">
        <v>45</v>
      </c>
      <c r="C5" t="s">
        <v>15</v>
      </c>
      <c r="D5" s="1" t="s">
        <v>25</v>
      </c>
      <c r="E5" s="2">
        <v>0.1</v>
      </c>
    </row>
    <row r="6" spans="1:9" x14ac:dyDescent="0.25">
      <c r="A6" t="str">
        <f t="shared" si="0"/>
        <v>FII-Conservador</v>
      </c>
      <c r="B6" s="1" t="s">
        <v>45</v>
      </c>
      <c r="C6" t="s">
        <v>15</v>
      </c>
      <c r="D6" s="1" t="s">
        <v>26</v>
      </c>
      <c r="E6" s="2">
        <v>0.1</v>
      </c>
    </row>
    <row r="7" spans="1:9" x14ac:dyDescent="0.25">
      <c r="A7" t="str">
        <f t="shared" si="0"/>
        <v>FII-Conservador</v>
      </c>
      <c r="B7" s="1" t="s">
        <v>45</v>
      </c>
      <c r="C7" t="s">
        <v>15</v>
      </c>
      <c r="D7" s="1" t="s">
        <v>27</v>
      </c>
      <c r="E7" s="2">
        <v>0</v>
      </c>
    </row>
    <row r="8" spans="1:9" ht="15.75" thickBot="1" x14ac:dyDescent="0.3">
      <c r="A8" t="str">
        <f t="shared" si="0"/>
        <v>FII-Conservador</v>
      </c>
      <c r="B8" s="1" t="s">
        <v>45</v>
      </c>
      <c r="C8" s="4" t="s">
        <v>15</v>
      </c>
      <c r="D8" s="5" t="s">
        <v>28</v>
      </c>
      <c r="E8" s="6">
        <v>0</v>
      </c>
    </row>
    <row r="9" spans="1:9" x14ac:dyDescent="0.25">
      <c r="A9" t="str">
        <f t="shared" si="0"/>
        <v>FII-Moderado</v>
      </c>
      <c r="B9" s="1" t="s">
        <v>45</v>
      </c>
      <c r="C9" t="s">
        <v>16</v>
      </c>
      <c r="D9" s="1" t="s">
        <v>23</v>
      </c>
      <c r="E9" s="2">
        <v>0.32</v>
      </c>
    </row>
    <row r="10" spans="1:9" x14ac:dyDescent="0.25">
      <c r="A10" t="str">
        <f t="shared" si="0"/>
        <v>FII-Moderado</v>
      </c>
      <c r="B10" s="1" t="s">
        <v>45</v>
      </c>
      <c r="C10" s="7" t="s">
        <v>16</v>
      </c>
      <c r="D10" s="8" t="s">
        <v>24</v>
      </c>
      <c r="E10" s="9">
        <v>0.35</v>
      </c>
    </row>
    <row r="11" spans="1:9" x14ac:dyDescent="0.25">
      <c r="A11" t="str">
        <f t="shared" si="0"/>
        <v>FII-Moderado</v>
      </c>
      <c r="B11" s="1" t="s">
        <v>45</v>
      </c>
      <c r="C11" t="s">
        <v>16</v>
      </c>
      <c r="D11" s="1" t="s">
        <v>25</v>
      </c>
      <c r="E11" s="2">
        <v>0.08</v>
      </c>
    </row>
    <row r="12" spans="1:9" x14ac:dyDescent="0.25">
      <c r="A12" t="str">
        <f t="shared" si="0"/>
        <v>FII-Moderado</v>
      </c>
      <c r="B12" s="1" t="s">
        <v>45</v>
      </c>
      <c r="C12" t="s">
        <v>16</v>
      </c>
      <c r="D12" s="1" t="s">
        <v>26</v>
      </c>
      <c r="E12" s="2">
        <v>0.05</v>
      </c>
    </row>
    <row r="13" spans="1:9" x14ac:dyDescent="0.25">
      <c r="A13" t="str">
        <f t="shared" si="0"/>
        <v>FII-Moderado</v>
      </c>
      <c r="B13" s="1" t="s">
        <v>45</v>
      </c>
      <c r="C13" t="s">
        <v>16</v>
      </c>
      <c r="D13" s="1" t="s">
        <v>27</v>
      </c>
      <c r="E13" s="2">
        <v>0.1</v>
      </c>
    </row>
    <row r="14" spans="1:9" ht="15.75" thickBot="1" x14ac:dyDescent="0.3">
      <c r="A14" t="str">
        <f t="shared" si="0"/>
        <v>FII-Moderado</v>
      </c>
      <c r="B14" s="1" t="s">
        <v>45</v>
      </c>
      <c r="C14" s="4" t="s">
        <v>16</v>
      </c>
      <c r="D14" s="5" t="s">
        <v>28</v>
      </c>
      <c r="E14" s="6">
        <v>0.1</v>
      </c>
    </row>
    <row r="15" spans="1:9" x14ac:dyDescent="0.25">
      <c r="A15" t="str">
        <f t="shared" si="0"/>
        <v>FII-Agressivo</v>
      </c>
      <c r="B15" s="1" t="s">
        <v>45</v>
      </c>
      <c r="C15" t="s">
        <v>17</v>
      </c>
      <c r="D15" s="1" t="s">
        <v>23</v>
      </c>
      <c r="E15" s="2">
        <v>0.5</v>
      </c>
    </row>
    <row r="16" spans="1:9" x14ac:dyDescent="0.25">
      <c r="A16" t="str">
        <f t="shared" si="0"/>
        <v>FII-Agressivo</v>
      </c>
      <c r="B16" s="1" t="s">
        <v>45</v>
      </c>
      <c r="C16" t="s">
        <v>17</v>
      </c>
      <c r="D16" s="1" t="s">
        <v>24</v>
      </c>
      <c r="E16" s="2">
        <v>0.1</v>
      </c>
    </row>
    <row r="17" spans="1:5" x14ac:dyDescent="0.25">
      <c r="A17" t="str">
        <f t="shared" si="0"/>
        <v>FII-Agressivo</v>
      </c>
      <c r="B17" s="1" t="s">
        <v>45</v>
      </c>
      <c r="C17" t="s">
        <v>17</v>
      </c>
      <c r="D17" s="1" t="s">
        <v>25</v>
      </c>
      <c r="E17" s="2">
        <v>0.05</v>
      </c>
    </row>
    <row r="18" spans="1:5" x14ac:dyDescent="0.25">
      <c r="A18" t="str">
        <f t="shared" si="0"/>
        <v>FII-Agressivo</v>
      </c>
      <c r="B18" s="1" t="s">
        <v>45</v>
      </c>
      <c r="C18" t="s">
        <v>17</v>
      </c>
      <c r="D18" s="1" t="s">
        <v>26</v>
      </c>
      <c r="E18" s="2">
        <v>0.05</v>
      </c>
    </row>
    <row r="19" spans="1:5" x14ac:dyDescent="0.25">
      <c r="A19" t="str">
        <f t="shared" si="0"/>
        <v>FII-Agressivo</v>
      </c>
      <c r="B19" s="1" t="s">
        <v>45</v>
      </c>
      <c r="C19" t="s">
        <v>17</v>
      </c>
      <c r="D19" s="1" t="s">
        <v>27</v>
      </c>
      <c r="E19" s="2">
        <v>0.2</v>
      </c>
    </row>
    <row r="20" spans="1:5" x14ac:dyDescent="0.25">
      <c r="A20" t="str">
        <f t="shared" si="0"/>
        <v>FII-Agressivo</v>
      </c>
      <c r="B20" s="1" t="s">
        <v>45</v>
      </c>
      <c r="C20" t="s">
        <v>17</v>
      </c>
      <c r="D20" s="1" t="s">
        <v>28</v>
      </c>
      <c r="E20" s="2">
        <v>0.1</v>
      </c>
    </row>
    <row r="21" spans="1:5" x14ac:dyDescent="0.25">
      <c r="A21" t="str">
        <f t="shared" si="0"/>
        <v>CRYPTO-Conservador</v>
      </c>
      <c r="B21" s="1" t="s">
        <v>46</v>
      </c>
      <c r="C21" s="18" t="s">
        <v>15</v>
      </c>
      <c r="D21" s="18" t="s">
        <v>34</v>
      </c>
      <c r="E21" s="19">
        <v>0.4</v>
      </c>
    </row>
    <row r="22" spans="1:5" x14ac:dyDescent="0.25">
      <c r="A22" t="str">
        <f t="shared" si="0"/>
        <v>CRYPTO-Conservador</v>
      </c>
      <c r="B22" s="1" t="s">
        <v>46</v>
      </c>
      <c r="C22" s="18" t="s">
        <v>15</v>
      </c>
      <c r="D22" s="18" t="s">
        <v>35</v>
      </c>
      <c r="E22" s="19">
        <v>0.3</v>
      </c>
    </row>
    <row r="23" spans="1:5" ht="20.25" customHeight="1" x14ac:dyDescent="0.25">
      <c r="A23" t="str">
        <f t="shared" si="0"/>
        <v>CRYPTO-Conservador</v>
      </c>
      <c r="B23" s="1" t="s">
        <v>46</v>
      </c>
      <c r="C23" s="18" t="s">
        <v>15</v>
      </c>
      <c r="D23" s="18" t="s">
        <v>36</v>
      </c>
      <c r="E23" s="19">
        <v>0.1</v>
      </c>
    </row>
    <row r="24" spans="1:5" x14ac:dyDescent="0.25">
      <c r="A24" t="str">
        <f t="shared" si="0"/>
        <v>CRYPTO-Conservador</v>
      </c>
      <c r="B24" s="1" t="s">
        <v>46</v>
      </c>
      <c r="C24" s="18" t="s">
        <v>15</v>
      </c>
      <c r="D24" s="18" t="s">
        <v>37</v>
      </c>
      <c r="E24" s="19">
        <v>0.08</v>
      </c>
    </row>
    <row r="25" spans="1:5" x14ac:dyDescent="0.25">
      <c r="A25" t="str">
        <f t="shared" si="0"/>
        <v>CRYPTO-Conservador</v>
      </c>
      <c r="B25" s="1" t="s">
        <v>46</v>
      </c>
      <c r="C25" s="18" t="s">
        <v>15</v>
      </c>
      <c r="D25" s="18" t="s">
        <v>38</v>
      </c>
      <c r="E25" s="19">
        <v>7.0000000000000007E-2</v>
      </c>
    </row>
    <row r="26" spans="1:5" ht="15.75" thickBot="1" x14ac:dyDescent="0.3">
      <c r="A26" t="str">
        <f t="shared" si="0"/>
        <v>CRYPTO-Conservador</v>
      </c>
      <c r="B26" s="1" t="s">
        <v>46</v>
      </c>
      <c r="C26" s="4" t="s">
        <v>15</v>
      </c>
      <c r="D26" s="5" t="s">
        <v>39</v>
      </c>
      <c r="E26" s="6">
        <v>0.05</v>
      </c>
    </row>
    <row r="27" spans="1:5" x14ac:dyDescent="0.25">
      <c r="A27" t="str">
        <f t="shared" si="0"/>
        <v>CRYPTO-Moderado</v>
      </c>
      <c r="B27" s="1" t="s">
        <v>46</v>
      </c>
      <c r="C27" s="20" t="s">
        <v>16</v>
      </c>
      <c r="D27" s="20" t="s">
        <v>34</v>
      </c>
      <c r="E27" s="21">
        <v>0.3</v>
      </c>
    </row>
    <row r="28" spans="1:5" x14ac:dyDescent="0.25">
      <c r="A28" t="str">
        <f t="shared" si="0"/>
        <v>CRYPTO-Moderado</v>
      </c>
      <c r="B28" s="1" t="s">
        <v>46</v>
      </c>
      <c r="C28" s="20" t="s">
        <v>16</v>
      </c>
      <c r="D28" s="20" t="s">
        <v>35</v>
      </c>
      <c r="E28" s="21">
        <v>0.25</v>
      </c>
    </row>
    <row r="29" spans="1:5" x14ac:dyDescent="0.25">
      <c r="A29" t="str">
        <f t="shared" si="0"/>
        <v>CRYPTO-Moderado</v>
      </c>
      <c r="B29" s="1" t="s">
        <v>46</v>
      </c>
      <c r="C29" s="20" t="s">
        <v>16</v>
      </c>
      <c r="D29" s="20" t="s">
        <v>38</v>
      </c>
      <c r="E29" s="21">
        <v>0.15</v>
      </c>
    </row>
    <row r="30" spans="1:5" x14ac:dyDescent="0.25">
      <c r="A30" t="str">
        <f t="shared" si="0"/>
        <v>CRYPTO-Moderado</v>
      </c>
      <c r="B30" s="1" t="s">
        <v>46</v>
      </c>
      <c r="C30" s="20" t="s">
        <v>16</v>
      </c>
      <c r="D30" s="20" t="s">
        <v>37</v>
      </c>
      <c r="E30" s="21">
        <v>0.1</v>
      </c>
    </row>
    <row r="31" spans="1:5" x14ac:dyDescent="0.25">
      <c r="A31" t="str">
        <f t="shared" si="0"/>
        <v>CRYPTO-Moderado</v>
      </c>
      <c r="B31" s="1" t="s">
        <v>46</v>
      </c>
      <c r="C31" s="20" t="s">
        <v>16</v>
      </c>
      <c r="D31" s="20" t="s">
        <v>40</v>
      </c>
      <c r="E31" s="21">
        <v>0.1</v>
      </c>
    </row>
    <row r="32" spans="1:5" ht="15.75" thickBot="1" x14ac:dyDescent="0.3">
      <c r="A32" t="str">
        <f t="shared" si="0"/>
        <v>CRYPTO-Moderado</v>
      </c>
      <c r="B32" s="1" t="s">
        <v>46</v>
      </c>
      <c r="C32" s="4" t="s">
        <v>16</v>
      </c>
      <c r="D32" s="5" t="s">
        <v>41</v>
      </c>
      <c r="E32" s="6">
        <v>0.1</v>
      </c>
    </row>
    <row r="33" spans="1:5" x14ac:dyDescent="0.25">
      <c r="A33" t="str">
        <f t="shared" si="0"/>
        <v>CRYPTO-Agressivo</v>
      </c>
      <c r="B33" s="1" t="s">
        <v>46</v>
      </c>
      <c r="C33" s="20" t="s">
        <v>17</v>
      </c>
      <c r="D33" s="20" t="s">
        <v>34</v>
      </c>
      <c r="E33" s="21">
        <v>0.2</v>
      </c>
    </row>
    <row r="34" spans="1:5" x14ac:dyDescent="0.25">
      <c r="A34" t="str">
        <f t="shared" si="0"/>
        <v>CRYPTO-Agressivo</v>
      </c>
      <c r="B34" s="1" t="s">
        <v>46</v>
      </c>
      <c r="C34" s="20" t="s">
        <v>17</v>
      </c>
      <c r="D34" s="20" t="s">
        <v>35</v>
      </c>
      <c r="E34" s="21">
        <v>0.15</v>
      </c>
    </row>
    <row r="35" spans="1:5" x14ac:dyDescent="0.25">
      <c r="A35" t="str">
        <f t="shared" si="0"/>
        <v>CRYPTO-Agressivo</v>
      </c>
      <c r="B35" s="1" t="s">
        <v>46</v>
      </c>
      <c r="C35" s="20" t="s">
        <v>17</v>
      </c>
      <c r="D35" s="20" t="s">
        <v>38</v>
      </c>
      <c r="E35" s="21">
        <v>0.2</v>
      </c>
    </row>
    <row r="36" spans="1:5" x14ac:dyDescent="0.25">
      <c r="A36" t="str">
        <f t="shared" si="0"/>
        <v>CRYPTO-Agressivo</v>
      </c>
      <c r="B36" s="1" t="s">
        <v>46</v>
      </c>
      <c r="C36" s="20" t="s">
        <v>17</v>
      </c>
      <c r="D36" s="20" t="s">
        <v>42</v>
      </c>
      <c r="E36" s="21">
        <v>0.15</v>
      </c>
    </row>
    <row r="37" spans="1:5" x14ac:dyDescent="0.25">
      <c r="A37" t="str">
        <f t="shared" si="0"/>
        <v>CRYPTO-Agressivo</v>
      </c>
      <c r="B37" s="1" t="s">
        <v>46</v>
      </c>
      <c r="C37" s="20" t="s">
        <v>17</v>
      </c>
      <c r="D37" s="20" t="s">
        <v>43</v>
      </c>
      <c r="E37" s="21">
        <v>0.15</v>
      </c>
    </row>
    <row r="38" spans="1:5" x14ac:dyDescent="0.25">
      <c r="A38" t="str">
        <f t="shared" si="0"/>
        <v>CRYPTO-Agressivo</v>
      </c>
      <c r="B38" s="1" t="s">
        <v>46</v>
      </c>
      <c r="C38" s="20" t="s">
        <v>17</v>
      </c>
      <c r="D38" s="20" t="s">
        <v>44</v>
      </c>
      <c r="E38" s="21">
        <v>0.15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BBC473-00BC-48E4-BFA3-FE8E2B1F0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4D0D6DD-E6DB-45C8-8F90-E314C090C085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C32110DE-3D77-470C-9CED-65521C30E3F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8</vt:i4>
      </vt:variant>
    </vt:vector>
  </HeadingPairs>
  <TitlesOfParts>
    <vt:vector size="10" baseType="lpstr">
      <vt:lpstr>APP</vt:lpstr>
      <vt:lpstr>Planilha2</vt:lpstr>
      <vt:lpstr>aporte</vt:lpstr>
      <vt:lpstr>DIVIDENDO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Adriano Rodrigues Trigueiro</cp:lastModifiedBy>
  <dcterms:created xsi:type="dcterms:W3CDTF">2025-04-16T18:38:03Z</dcterms:created>
  <dcterms:modified xsi:type="dcterms:W3CDTF">2025-12-16T12:31:18Z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